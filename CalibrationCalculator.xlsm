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2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30" i="1"/>
  <c r="B28"/>
  <c r="F25"/>
  <c r="F21"/>
  <c r="F8"/>
  <c r="F4"/>
  <c r="B11" l="1"/>
  <c r="B13" s="1"/>
  <c r="B15" l="1"/>
  <c r="B32"/>
  <c r="F32"/>
  <c r="F15"/>
</calcChain>
</file>

<file path=xl/sharedStrings.xml><?xml version="1.0" encoding="utf-8"?>
<sst xmlns="http://schemas.openxmlformats.org/spreadsheetml/2006/main" count="30" uniqueCount="12">
  <si>
    <t>Position 1 Angle</t>
  </si>
  <si>
    <t>Degrees</t>
  </si>
  <si>
    <t>Minutes</t>
  </si>
  <si>
    <t>Seconds</t>
  </si>
  <si>
    <t>Angle</t>
  </si>
  <si>
    <t>Position 2 Angle</t>
  </si>
  <si>
    <t>Sum</t>
  </si>
  <si>
    <t>Error</t>
  </si>
  <si>
    <t>Correction</t>
  </si>
  <si>
    <t>Set Micrometer to:</t>
  </si>
  <si>
    <t>Vertical</t>
  </si>
  <si>
    <t>Horizontal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</si>
</sst>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3" borderId="0" xfId="0" applyFont="1" applyFill="1"/>
    <xf numFmtId="0" fontId="1" fillId="4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F32"/>
  <sheetViews>
    <sheetView tabSelected="1" workbookViewId="0">
      <selection activeCell="I15" sqref="I15"/>
    </sheetView>
  </sheetViews>
  <sheetFormatPr defaultRowHeight="15"/>
  <cols>
    <col min="2" max="2" width="15.42578125" bestFit="1" customWidth="1"/>
    <col min="3" max="4" width="12" bestFit="1" customWidth="1"/>
    <col min="6" max="6" width="17.85546875" bestFit="1" customWidth="1"/>
  </cols>
  <sheetData>
    <row r="1" spans="2:6">
      <c r="B1" s="4" t="s">
        <v>10</v>
      </c>
    </row>
    <row r="2" spans="2:6">
      <c r="B2" t="s">
        <v>0</v>
      </c>
    </row>
    <row r="3" spans="2:6">
      <c r="B3" t="s">
        <v>1</v>
      </c>
      <c r="C3" t="s">
        <v>2</v>
      </c>
      <c r="D3" t="s">
        <v>3</v>
      </c>
      <c r="F3" t="s">
        <v>4</v>
      </c>
    </row>
    <row r="4" spans="2:6">
      <c r="B4" s="1">
        <v>177</v>
      </c>
      <c r="C4" s="1">
        <v>20</v>
      </c>
      <c r="D4" s="1">
        <v>40</v>
      </c>
      <c r="F4">
        <f>B4+C4/60+D4/3600</f>
        <v>177.34444444444446</v>
      </c>
    </row>
    <row r="6" spans="2:6">
      <c r="B6" t="s">
        <v>5</v>
      </c>
    </row>
    <row r="7" spans="2:6">
      <c r="B7" t="s">
        <v>1</v>
      </c>
      <c r="C7" t="s">
        <v>2</v>
      </c>
      <c r="D7" t="s">
        <v>3</v>
      </c>
      <c r="F7" t="s">
        <v>4</v>
      </c>
    </row>
    <row r="8" spans="2:6">
      <c r="B8" s="1">
        <v>182</v>
      </c>
      <c r="C8" s="1">
        <v>30</v>
      </c>
      <c r="D8" s="1">
        <v>30</v>
      </c>
      <c r="F8">
        <f>B8+C8/60+D8/3600</f>
        <v>182.50833333333333</v>
      </c>
    </row>
    <row r="10" spans="2:6">
      <c r="B10" t="s">
        <v>6</v>
      </c>
    </row>
    <row r="11" spans="2:6" ht="16.5">
      <c r="B11">
        <f>$F$4+$F$8</f>
        <v>359.85277777777776</v>
      </c>
      <c r="F11" s="3"/>
    </row>
    <row r="12" spans="2:6">
      <c r="B12" t="s">
        <v>7</v>
      </c>
    </row>
    <row r="13" spans="2:6">
      <c r="B13">
        <f>$B$11-360</f>
        <v>-0.14722222222223991</v>
      </c>
    </row>
    <row r="14" spans="2:6">
      <c r="B14" t="s">
        <v>8</v>
      </c>
      <c r="F14" t="s">
        <v>9</v>
      </c>
    </row>
    <row r="15" spans="2:6" ht="16.5">
      <c r="B15">
        <f>$F$8+$B$13/2</f>
        <v>182.43472222222221</v>
      </c>
      <c r="F15" s="2" t="str">
        <f>Convert_Degree($B$15)</f>
        <v xml:space="preserve"> 182° 26' 5"</v>
      </c>
    </row>
    <row r="18" spans="2:6">
      <c r="B18" s="4" t="s">
        <v>11</v>
      </c>
    </row>
    <row r="19" spans="2:6">
      <c r="B19" t="s">
        <v>0</v>
      </c>
    </row>
    <row r="20" spans="2:6">
      <c r="B20" t="s">
        <v>1</v>
      </c>
      <c r="C20" t="s">
        <v>2</v>
      </c>
      <c r="D20" t="s">
        <v>3</v>
      </c>
      <c r="F20" t="s">
        <v>4</v>
      </c>
    </row>
    <row r="21" spans="2:6">
      <c r="B21" s="1">
        <v>177</v>
      </c>
      <c r="C21" s="1">
        <v>20</v>
      </c>
      <c r="D21" s="1">
        <v>40</v>
      </c>
      <c r="F21">
        <f>B21+C21/60+D21/3600</f>
        <v>177.34444444444446</v>
      </c>
    </row>
    <row r="23" spans="2:6">
      <c r="B23" t="s">
        <v>5</v>
      </c>
    </row>
    <row r="24" spans="2:6">
      <c r="B24" t="s">
        <v>1</v>
      </c>
      <c r="C24" t="s">
        <v>2</v>
      </c>
      <c r="D24" t="s">
        <v>3</v>
      </c>
      <c r="F24" t="s">
        <v>4</v>
      </c>
    </row>
    <row r="25" spans="2:6">
      <c r="B25" s="1">
        <v>182</v>
      </c>
      <c r="C25" s="1">
        <v>30</v>
      </c>
      <c r="D25" s="1">
        <v>30</v>
      </c>
      <c r="F25">
        <f>B25+C25/60+D25/3600</f>
        <v>182.50833333333333</v>
      </c>
    </row>
    <row r="27" spans="2:6">
      <c r="B27" t="s">
        <v>6</v>
      </c>
    </row>
    <row r="28" spans="2:6" ht="16.5">
      <c r="B28">
        <f>$F$25+$F$21</f>
        <v>359.85277777777776</v>
      </c>
      <c r="F28" s="3"/>
    </row>
    <row r="29" spans="2:6">
      <c r="B29" t="s">
        <v>7</v>
      </c>
    </row>
    <row r="30" spans="2:6">
      <c r="B30">
        <f>$B$28-360</f>
        <v>-0.14722222222223991</v>
      </c>
    </row>
    <row r="31" spans="2:6">
      <c r="B31" t="s">
        <v>8</v>
      </c>
      <c r="F31" t="s">
        <v>9</v>
      </c>
    </row>
    <row r="32" spans="2:6" ht="16.5">
      <c r="B32">
        <f>$F$8+$B$13/2</f>
        <v>182.43472222222221</v>
      </c>
      <c r="F32" s="2" t="str">
        <f>Convert_Degree($B$15)</f>
        <v xml:space="preserve"> 182° 26' 5"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IRIS</dc:creator>
  <cp:lastModifiedBy>IRIS</cp:lastModifiedBy>
  <dcterms:created xsi:type="dcterms:W3CDTF">2017-07-05T05:38:17Z</dcterms:created>
  <dcterms:modified xsi:type="dcterms:W3CDTF">2017-07-05T07:13:52Z</dcterms:modified>
</cp:coreProperties>
</file>